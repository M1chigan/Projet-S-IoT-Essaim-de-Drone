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ene\Documents\INSA\S9\Projet S-IoT\Projet-S-IoT-Essaim-de-Drone\Calibration_UWB\"/>
    </mc:Choice>
  </mc:AlternateContent>
  <xr:revisionPtr revIDLastSave="0" documentId="13_ncr:1_{3956946C-4118-4A07-A0D5-0017D935A8AC}" xr6:coauthVersionLast="47" xr6:coauthVersionMax="47" xr10:uidLastSave="{00000000-0000-0000-0000-000000000000}"/>
  <bookViews>
    <workbookView xWindow="-98" yWindow="-98" windowWidth="21795" windowHeight="12975" activeTab="1" xr2:uid="{3432B3F7-2079-4B90-A4C0-F53B175D63F2}"/>
  </bookViews>
  <sheets>
    <sheet name="UWB_horizontale" sheetId="1" r:id="rId1"/>
    <sheet name="UWB_vertical_face_face" sheetId="2" r:id="rId2"/>
    <sheet name="UWB_vertical_dos_face" sheetId="3" r:id="rId3"/>
    <sheet name="UWB_translation" sheetId="4" r:id="rId4"/>
    <sheet name="UWB_rotation" sheetId="5" r:id="rId5"/>
    <sheet name="UWB_drone_face_fa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4" l="1"/>
  <c r="C9" i="4"/>
  <c r="C10" i="4"/>
  <c r="C11" i="4"/>
  <c r="C12" i="4"/>
  <c r="C8" i="4"/>
  <c r="C7" i="4"/>
  <c r="C6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2" i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<sst xmlns="http://schemas.openxmlformats.org/spreadsheetml/2006/main" count="41" uniqueCount="20">
  <si>
    <t xml:space="preserve">Distance réelle (cm) </t>
  </si>
  <si>
    <t>Distance mesurée</t>
  </si>
  <si>
    <t>Erreur</t>
  </si>
  <si>
    <t>Distance relative à 120</t>
  </si>
  <si>
    <t xml:space="preserve">UWB 0 et 1 </t>
  </si>
  <si>
    <t>9 ticks</t>
  </si>
  <si>
    <t>Distance réelle (cm)</t>
  </si>
  <si>
    <t>Distance mesurée (cm)</t>
  </si>
  <si>
    <t xml:space="preserve">Erreur </t>
  </si>
  <si>
    <t>Reference tick</t>
  </si>
  <si>
    <t>Remarque : erreur dérive dans le temps</t>
  </si>
  <si>
    <t>Référence 120 cm</t>
  </si>
  <si>
    <t>Référence 130 cm</t>
  </si>
  <si>
    <t>Angle(°)</t>
  </si>
  <si>
    <t>Décalage (cm)</t>
  </si>
  <si>
    <t>aligné</t>
  </si>
  <si>
    <t>même dir</t>
  </si>
  <si>
    <t>opposé</t>
  </si>
  <si>
    <t>UWB-1</t>
  </si>
  <si>
    <t>UWB-3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</si>
</sst>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UWB_horizontale!$B$15:$B$38</c:f>
              <c:numCache>
                <c:formatCode>General</c:formatCode>
                <c:ptCount val="24"/>
                <c:pt idx="0">
                  <c:v>125</c:v>
                </c:pt>
                <c:pt idx="1">
                  <c:v>130</c:v>
                </c:pt>
                <c:pt idx="2">
                  <c:v>135</c:v>
                </c:pt>
                <c:pt idx="3">
                  <c:v>140</c:v>
                </c:pt>
                <c:pt idx="4">
                  <c:v>145</c:v>
                </c:pt>
                <c:pt idx="5">
                  <c:v>150</c:v>
                </c:pt>
                <c:pt idx="6">
                  <c:v>155</c:v>
                </c:pt>
                <c:pt idx="7">
                  <c:v>160</c:v>
                </c:pt>
                <c:pt idx="8">
                  <c:v>165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185</c:v>
                </c:pt>
                <c:pt idx="13">
                  <c:v>190</c:v>
                </c:pt>
                <c:pt idx="14">
                  <c:v>115</c:v>
                </c:pt>
                <c:pt idx="15">
                  <c:v>110</c:v>
                </c:pt>
                <c:pt idx="16">
                  <c:v>105</c:v>
                </c:pt>
                <c:pt idx="17">
                  <c:v>100</c:v>
                </c:pt>
                <c:pt idx="18">
                  <c:v>95</c:v>
                </c:pt>
                <c:pt idx="19">
                  <c:v>90</c:v>
                </c:pt>
                <c:pt idx="20">
                  <c:v>85</c:v>
                </c:pt>
                <c:pt idx="21">
                  <c:v>80</c:v>
                </c:pt>
                <c:pt idx="22">
                  <c:v>75</c:v>
                </c:pt>
                <c:pt idx="23">
                  <c:v>70</c:v>
                </c:pt>
              </c:numCache>
            </c:numRef>
          </c:xVal>
          <c:yVal>
            <c:numRef>
              <c:f>UWB_horizontale!$F$15:$F$38</c:f>
              <c:numCache>
                <c:formatCode>General</c:formatCode>
                <c:ptCount val="24"/>
                <c:pt idx="0">
                  <c:v>1.4000000000000057</c:v>
                </c:pt>
                <c:pt idx="1">
                  <c:v>-0.40000000000000568</c:v>
                </c:pt>
                <c:pt idx="2">
                  <c:v>-1.4000000000000057</c:v>
                </c:pt>
                <c:pt idx="3">
                  <c:v>-1.4000000000000057</c:v>
                </c:pt>
                <c:pt idx="4">
                  <c:v>-9.9999999999994316E-2</c:v>
                </c:pt>
                <c:pt idx="5">
                  <c:v>1.6999999999999886</c:v>
                </c:pt>
                <c:pt idx="6">
                  <c:v>5.3000000000000114</c:v>
                </c:pt>
                <c:pt idx="7">
                  <c:v>5.6999999999999886</c:v>
                </c:pt>
                <c:pt idx="8">
                  <c:v>7.1999999999999886</c:v>
                </c:pt>
                <c:pt idx="9">
                  <c:v>7.1999999999999886</c:v>
                </c:pt>
                <c:pt idx="10">
                  <c:v>5.3000000000000114</c:v>
                </c:pt>
                <c:pt idx="11">
                  <c:v>4.3000000000000114</c:v>
                </c:pt>
                <c:pt idx="12">
                  <c:v>3.3000000000000114</c:v>
                </c:pt>
                <c:pt idx="13">
                  <c:v>1.9000000000000057</c:v>
                </c:pt>
                <c:pt idx="14">
                  <c:v>-1.5999999999999943</c:v>
                </c:pt>
                <c:pt idx="15">
                  <c:v>-1.0999999999999943</c:v>
                </c:pt>
                <c:pt idx="16">
                  <c:v>-2.4000000000000057</c:v>
                </c:pt>
                <c:pt idx="17">
                  <c:v>-3.2000000000000028</c:v>
                </c:pt>
                <c:pt idx="18">
                  <c:v>-2.7999999999999972</c:v>
                </c:pt>
                <c:pt idx="19">
                  <c:v>-3.4000000000000057</c:v>
                </c:pt>
                <c:pt idx="20">
                  <c:v>-5.0999999999999943</c:v>
                </c:pt>
                <c:pt idx="21">
                  <c:v>-6.0999999999999943</c:v>
                </c:pt>
                <c:pt idx="22">
                  <c:v>-5.4000000000000057</c:v>
                </c:pt>
                <c:pt idx="23">
                  <c:v>-7.7999999999999972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0-4947-841D-1F8F38742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729584"/>
        <c:axId val="2041907472"/>
      </c:scatterChart>
      <c:valAx>
        <c:axId val="21097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1907472"/>
        <c:crosses val="autoZero"/>
        <c:crossBetween val="midCat"/>
      </c:valAx>
      <c:valAx>
        <c:axId val="204190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97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106680</xdr:colOff>
      <xdr:row>17</xdr:row>
      <xdr:rowOff>87630</xdr:rowOff>
    </xdr:from>
    <xdr:to>
      <xdr:col>12</xdr:col>
      <xdr:colOff>716280</xdr:colOff>
      <xdr:row>32</xdr:row>
      <xdr:rowOff>87630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6D75911-D516-61E0-3E31-647C122602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655F8-00C4-4040-9A36-903A51E0E8F1}">
  <dimension ref="B1:J42"/>
  <sheetViews>
    <sheetView workbookViewId="0">
      <selection activeCell="I7" sqref="I7"/>
    </sheetView>
  </sheetViews>
  <sheetFormatPr baseColWidth="10" defaultRowHeight="14.25" x14ac:dyDescent="0.45"/>
  <sheetData>
    <row r="1" spans="2:10" x14ac:dyDescent="0.45">
      <c r="B1" t="s">
        <v>0</v>
      </c>
      <c r="D1" t="s">
        <v>1</v>
      </c>
      <c r="F1" t="s">
        <v>2</v>
      </c>
      <c r="G1" t="s">
        <v>3</v>
      </c>
    </row>
    <row r="2" spans="2:10" x14ac:dyDescent="0.45">
      <c r="B2" s="1">
        <v>69.400000000000006</v>
      </c>
      <c r="C2" s="1"/>
      <c r="D2" s="1">
        <v>61</v>
      </c>
      <c r="E2" s="1"/>
      <c r="F2" s="1">
        <f>(D2-B2)</f>
        <v>-8.4000000000000057</v>
      </c>
      <c r="G2" s="1">
        <f>B2-120</f>
        <v>-50.599999999999994</v>
      </c>
    </row>
    <row r="3" spans="2:10" x14ac:dyDescent="0.45">
      <c r="B3" s="1">
        <v>82.6</v>
      </c>
      <c r="C3" s="1"/>
      <c r="D3" s="1">
        <v>76.099999999999994</v>
      </c>
      <c r="E3" s="1"/>
      <c r="F3" s="1">
        <f t="shared" ref="F3:F38" si="0">(D3-B3)</f>
        <v>-6.5</v>
      </c>
      <c r="G3" s="1">
        <f t="shared" ref="G3:G38" si="1">B3-120</f>
        <v>-37.400000000000006</v>
      </c>
    </row>
    <row r="4" spans="2:10" x14ac:dyDescent="0.45">
      <c r="B4" s="1">
        <v>91</v>
      </c>
      <c r="C4" s="1"/>
      <c r="D4" s="1">
        <v>87</v>
      </c>
      <c r="E4" s="1"/>
      <c r="F4" s="1">
        <f t="shared" si="0"/>
        <v>-4</v>
      </c>
      <c r="G4" s="1">
        <f t="shared" si="1"/>
        <v>-29</v>
      </c>
    </row>
    <row r="5" spans="2:10" x14ac:dyDescent="0.45">
      <c r="B5" s="1">
        <v>100</v>
      </c>
      <c r="C5" s="1"/>
      <c r="D5" s="1">
        <v>96.5</v>
      </c>
      <c r="E5" s="1"/>
      <c r="F5" s="1">
        <f t="shared" si="0"/>
        <v>-3.5</v>
      </c>
      <c r="G5" s="1">
        <f t="shared" si="1"/>
        <v>-20</v>
      </c>
    </row>
    <row r="6" spans="2:10" x14ac:dyDescent="0.45">
      <c r="B6" s="1">
        <v>107.3</v>
      </c>
      <c r="C6" s="1"/>
      <c r="D6" s="1">
        <v>106.4</v>
      </c>
      <c r="E6" s="1"/>
      <c r="F6" s="1">
        <f t="shared" si="0"/>
        <v>-0.89999999999999147</v>
      </c>
      <c r="G6" s="1">
        <f t="shared" si="1"/>
        <v>-12.700000000000003</v>
      </c>
    </row>
    <row r="7" spans="2:10" x14ac:dyDescent="0.45">
      <c r="B7" s="1">
        <v>120.5</v>
      </c>
      <c r="C7" s="1"/>
      <c r="D7" s="1">
        <v>120.9</v>
      </c>
      <c r="E7" s="1"/>
      <c r="F7" s="1">
        <f t="shared" si="0"/>
        <v>0.40000000000000568</v>
      </c>
      <c r="G7" s="1">
        <f t="shared" si="1"/>
        <v>0.5</v>
      </c>
      <c r="I7" t="s">
        <v>4</v>
      </c>
      <c r="J7" t="s">
        <v>5</v>
      </c>
    </row>
    <row r="8" spans="2:10" x14ac:dyDescent="0.45">
      <c r="B8" s="1">
        <v>132</v>
      </c>
      <c r="C8" s="1"/>
      <c r="D8" s="1">
        <v>133.69999999999999</v>
      </c>
      <c r="E8" s="1"/>
      <c r="F8" s="1">
        <f t="shared" si="0"/>
        <v>1.6999999999999886</v>
      </c>
      <c r="G8" s="1">
        <f t="shared" si="1"/>
        <v>12</v>
      </c>
    </row>
    <row r="9" spans="2:10" x14ac:dyDescent="0.45">
      <c r="B9" s="1">
        <v>147.4</v>
      </c>
      <c r="C9" s="1"/>
      <c r="D9" s="1">
        <v>150</v>
      </c>
      <c r="E9" s="1"/>
      <c r="F9" s="1">
        <f t="shared" si="0"/>
        <v>2.5999999999999943</v>
      </c>
      <c r="G9" s="1">
        <f t="shared" si="1"/>
        <v>27.400000000000006</v>
      </c>
    </row>
    <row r="10" spans="2:10" x14ac:dyDescent="0.45">
      <c r="B10" s="1">
        <v>155.5</v>
      </c>
      <c r="C10" s="1"/>
      <c r="D10" s="1">
        <v>161</v>
      </c>
      <c r="E10" s="1"/>
      <c r="F10" s="1">
        <f t="shared" si="0"/>
        <v>5.5</v>
      </c>
      <c r="G10" s="1">
        <f t="shared" si="1"/>
        <v>35.5</v>
      </c>
    </row>
    <row r="11" spans="2:10" x14ac:dyDescent="0.45">
      <c r="B11" s="1">
        <v>164.7</v>
      </c>
      <c r="C11" s="1"/>
      <c r="D11" s="1">
        <v>171.8</v>
      </c>
      <c r="E11" s="1"/>
      <c r="F11" s="1">
        <f t="shared" si="0"/>
        <v>7.1000000000000227</v>
      </c>
      <c r="G11" s="1">
        <f t="shared" si="1"/>
        <v>44.699999999999989</v>
      </c>
    </row>
    <row r="12" spans="2:10" x14ac:dyDescent="0.45">
      <c r="B12" s="1">
        <v>167</v>
      </c>
      <c r="C12" s="1"/>
      <c r="D12" s="1">
        <v>172.8</v>
      </c>
      <c r="E12" s="1"/>
      <c r="F12" s="1">
        <f t="shared" si="0"/>
        <v>5.8000000000000114</v>
      </c>
      <c r="G12" s="1">
        <f t="shared" si="1"/>
        <v>47</v>
      </c>
    </row>
    <row r="13" spans="2:10" x14ac:dyDescent="0.45">
      <c r="B13" s="1">
        <v>176</v>
      </c>
      <c r="C13" s="1"/>
      <c r="D13" s="1">
        <v>183.8</v>
      </c>
      <c r="E13" s="1"/>
      <c r="F13" s="1">
        <f t="shared" si="0"/>
        <v>7.8000000000000114</v>
      </c>
      <c r="G13" s="1">
        <f t="shared" si="1"/>
        <v>56</v>
      </c>
    </row>
    <row r="14" spans="2:10" x14ac:dyDescent="0.45">
      <c r="B14" s="1">
        <v>189.6</v>
      </c>
      <c r="C14" s="1"/>
      <c r="D14" s="1">
        <v>197.9</v>
      </c>
      <c r="E14" s="1"/>
      <c r="F14" s="1">
        <f t="shared" si="0"/>
        <v>8.3000000000000114</v>
      </c>
      <c r="G14" s="1">
        <f t="shared" si="1"/>
        <v>69.599999999999994</v>
      </c>
    </row>
    <row r="15" spans="2:10" x14ac:dyDescent="0.45">
      <c r="B15" s="1">
        <v>125</v>
      </c>
      <c r="C15" s="1"/>
      <c r="D15" s="1">
        <v>126.4</v>
      </c>
      <c r="E15" s="1"/>
      <c r="F15" s="1">
        <f t="shared" si="0"/>
        <v>1.4000000000000057</v>
      </c>
      <c r="G15" s="1">
        <f t="shared" si="1"/>
        <v>5</v>
      </c>
    </row>
    <row r="16" spans="2:10" x14ac:dyDescent="0.45">
      <c r="B16" s="1">
        <v>130</v>
      </c>
      <c r="C16" s="1"/>
      <c r="D16" s="1">
        <v>129.6</v>
      </c>
      <c r="E16" s="1"/>
      <c r="F16" s="1">
        <f t="shared" si="0"/>
        <v>-0.40000000000000568</v>
      </c>
      <c r="G16" s="1">
        <f t="shared" si="1"/>
        <v>10</v>
      </c>
    </row>
    <row r="17" spans="2:7" x14ac:dyDescent="0.45">
      <c r="B17" s="1">
        <v>135</v>
      </c>
      <c r="C17" s="1"/>
      <c r="D17" s="1">
        <v>133.6</v>
      </c>
      <c r="E17" s="1"/>
      <c r="F17" s="1">
        <f t="shared" si="0"/>
        <v>-1.4000000000000057</v>
      </c>
      <c r="G17" s="1">
        <f t="shared" si="1"/>
        <v>15</v>
      </c>
    </row>
    <row r="18" spans="2:7" x14ac:dyDescent="0.45">
      <c r="B18" s="1">
        <v>140</v>
      </c>
      <c r="C18" s="1"/>
      <c r="D18" s="1">
        <v>138.6</v>
      </c>
      <c r="E18" s="1"/>
      <c r="F18" s="1">
        <f t="shared" si="0"/>
        <v>-1.4000000000000057</v>
      </c>
      <c r="G18" s="1">
        <f t="shared" si="1"/>
        <v>20</v>
      </c>
    </row>
    <row r="19" spans="2:7" x14ac:dyDescent="0.45">
      <c r="B19" s="1">
        <v>145</v>
      </c>
      <c r="C19" s="1"/>
      <c r="D19" s="1">
        <v>144.9</v>
      </c>
      <c r="E19" s="1"/>
      <c r="F19" s="1">
        <f t="shared" si="0"/>
        <v>-9.9999999999994316E-2</v>
      </c>
      <c r="G19" s="1">
        <f t="shared" si="1"/>
        <v>25</v>
      </c>
    </row>
    <row r="20" spans="2:7" x14ac:dyDescent="0.45">
      <c r="B20" s="1">
        <v>150</v>
      </c>
      <c r="C20" s="1"/>
      <c r="D20" s="1">
        <v>151.69999999999999</v>
      </c>
      <c r="E20" s="1"/>
      <c r="F20" s="1">
        <f t="shared" si="0"/>
        <v>1.6999999999999886</v>
      </c>
      <c r="G20" s="1">
        <f t="shared" si="1"/>
        <v>30</v>
      </c>
    </row>
    <row r="21" spans="2:7" x14ac:dyDescent="0.45">
      <c r="B21" s="1">
        <v>155</v>
      </c>
      <c r="C21" s="1"/>
      <c r="D21" s="1">
        <v>160.30000000000001</v>
      </c>
      <c r="E21" s="1"/>
      <c r="F21" s="1">
        <f t="shared" si="0"/>
        <v>5.3000000000000114</v>
      </c>
      <c r="G21" s="1">
        <f t="shared" si="1"/>
        <v>35</v>
      </c>
    </row>
    <row r="22" spans="2:7" x14ac:dyDescent="0.45">
      <c r="B22" s="1">
        <v>160</v>
      </c>
      <c r="C22" s="1"/>
      <c r="D22" s="1">
        <v>165.7</v>
      </c>
      <c r="E22" s="1"/>
      <c r="F22" s="1">
        <f t="shared" si="0"/>
        <v>5.6999999999999886</v>
      </c>
      <c r="G22" s="1">
        <f t="shared" si="1"/>
        <v>40</v>
      </c>
    </row>
    <row r="23" spans="2:7" x14ac:dyDescent="0.45">
      <c r="B23" s="1">
        <v>165</v>
      </c>
      <c r="C23" s="1"/>
      <c r="D23" s="1">
        <v>172.2</v>
      </c>
      <c r="E23" s="1"/>
      <c r="F23" s="1">
        <f t="shared" si="0"/>
        <v>7.1999999999999886</v>
      </c>
      <c r="G23" s="1">
        <f t="shared" si="1"/>
        <v>45</v>
      </c>
    </row>
    <row r="24" spans="2:7" x14ac:dyDescent="0.45">
      <c r="B24" s="1">
        <v>170</v>
      </c>
      <c r="C24" s="1"/>
      <c r="D24" s="1">
        <v>177.2</v>
      </c>
      <c r="E24" s="1"/>
      <c r="F24" s="1">
        <f t="shared" si="0"/>
        <v>7.1999999999999886</v>
      </c>
      <c r="G24" s="1">
        <f t="shared" si="1"/>
        <v>50</v>
      </c>
    </row>
    <row r="25" spans="2:7" x14ac:dyDescent="0.45">
      <c r="B25" s="1">
        <v>175</v>
      </c>
      <c r="C25" s="1"/>
      <c r="D25" s="1">
        <v>180.3</v>
      </c>
      <c r="E25" s="1"/>
      <c r="F25" s="1">
        <f t="shared" si="0"/>
        <v>5.3000000000000114</v>
      </c>
      <c r="G25" s="1">
        <f t="shared" si="1"/>
        <v>55</v>
      </c>
    </row>
    <row r="26" spans="2:7" x14ac:dyDescent="0.45">
      <c r="B26" s="1">
        <v>180</v>
      </c>
      <c r="C26" s="1"/>
      <c r="D26" s="1">
        <v>184.3</v>
      </c>
      <c r="E26" s="1"/>
      <c r="F26" s="1">
        <f t="shared" si="0"/>
        <v>4.3000000000000114</v>
      </c>
      <c r="G26" s="1">
        <f t="shared" si="1"/>
        <v>60</v>
      </c>
    </row>
    <row r="27" spans="2:7" x14ac:dyDescent="0.45">
      <c r="B27" s="1">
        <v>185</v>
      </c>
      <c r="C27" s="1"/>
      <c r="D27" s="1">
        <v>188.3</v>
      </c>
      <c r="E27" s="1"/>
      <c r="F27" s="1">
        <f t="shared" si="0"/>
        <v>3.3000000000000114</v>
      </c>
      <c r="G27" s="1">
        <f t="shared" si="1"/>
        <v>65</v>
      </c>
    </row>
    <row r="28" spans="2:7" x14ac:dyDescent="0.45">
      <c r="B28" s="1">
        <v>190</v>
      </c>
      <c r="C28" s="1"/>
      <c r="D28" s="1">
        <v>191.9</v>
      </c>
      <c r="E28" s="1"/>
      <c r="F28" s="1">
        <f t="shared" si="0"/>
        <v>1.9000000000000057</v>
      </c>
      <c r="G28" s="1">
        <f t="shared" si="1"/>
        <v>70</v>
      </c>
    </row>
    <row r="29" spans="2:7" x14ac:dyDescent="0.45">
      <c r="B29" s="1">
        <v>115</v>
      </c>
      <c r="C29" s="1"/>
      <c r="D29" s="1">
        <v>113.4</v>
      </c>
      <c r="E29" s="1"/>
      <c r="F29" s="1">
        <f t="shared" si="0"/>
        <v>-1.5999999999999943</v>
      </c>
      <c r="G29" s="1">
        <f t="shared" si="1"/>
        <v>-5</v>
      </c>
    </row>
    <row r="30" spans="2:7" x14ac:dyDescent="0.45">
      <c r="B30" s="1">
        <v>110</v>
      </c>
      <c r="C30" s="1"/>
      <c r="D30" s="1">
        <v>108.9</v>
      </c>
      <c r="E30" s="1"/>
      <c r="F30" s="1">
        <f t="shared" si="0"/>
        <v>-1.0999999999999943</v>
      </c>
      <c r="G30" s="1">
        <f t="shared" si="1"/>
        <v>-10</v>
      </c>
    </row>
    <row r="31" spans="2:7" x14ac:dyDescent="0.45">
      <c r="B31" s="1">
        <v>105</v>
      </c>
      <c r="D31" s="1">
        <v>102.6</v>
      </c>
      <c r="F31" s="1">
        <f t="shared" si="0"/>
        <v>-2.4000000000000057</v>
      </c>
      <c r="G31" s="1">
        <f t="shared" si="1"/>
        <v>-15</v>
      </c>
    </row>
    <row r="32" spans="2:7" x14ac:dyDescent="0.45">
      <c r="B32" s="1">
        <v>100</v>
      </c>
      <c r="D32" s="1">
        <v>96.8</v>
      </c>
      <c r="F32" s="1">
        <f t="shared" si="0"/>
        <v>-3.2000000000000028</v>
      </c>
      <c r="G32" s="1">
        <f t="shared" si="1"/>
        <v>-20</v>
      </c>
    </row>
    <row r="33" spans="2:7" x14ac:dyDescent="0.45">
      <c r="B33" s="1">
        <v>95</v>
      </c>
      <c r="D33" s="1">
        <v>92.2</v>
      </c>
      <c r="F33" s="1">
        <f t="shared" si="0"/>
        <v>-2.7999999999999972</v>
      </c>
      <c r="G33" s="1">
        <f t="shared" si="1"/>
        <v>-25</v>
      </c>
    </row>
    <row r="34" spans="2:7" x14ac:dyDescent="0.45">
      <c r="B34" s="1">
        <v>90</v>
      </c>
      <c r="D34" s="1">
        <v>86.6</v>
      </c>
      <c r="F34" s="1">
        <f t="shared" si="0"/>
        <v>-3.4000000000000057</v>
      </c>
      <c r="G34" s="1">
        <f t="shared" si="1"/>
        <v>-30</v>
      </c>
    </row>
    <row r="35" spans="2:7" x14ac:dyDescent="0.45">
      <c r="B35" s="1">
        <v>85</v>
      </c>
      <c r="D35" s="1">
        <v>79.900000000000006</v>
      </c>
      <c r="F35" s="1">
        <f t="shared" si="0"/>
        <v>-5.0999999999999943</v>
      </c>
      <c r="G35" s="1">
        <f t="shared" si="1"/>
        <v>-35</v>
      </c>
    </row>
    <row r="36" spans="2:7" x14ac:dyDescent="0.45">
      <c r="B36" s="1">
        <v>80</v>
      </c>
      <c r="D36" s="1">
        <v>73.900000000000006</v>
      </c>
      <c r="F36" s="1">
        <f t="shared" si="0"/>
        <v>-6.0999999999999943</v>
      </c>
      <c r="G36" s="1">
        <f t="shared" si="1"/>
        <v>-40</v>
      </c>
    </row>
    <row r="37" spans="2:7" x14ac:dyDescent="0.45">
      <c r="B37" s="1">
        <v>75</v>
      </c>
      <c r="D37" s="1">
        <v>69.599999999999994</v>
      </c>
      <c r="F37" s="1">
        <f t="shared" si="0"/>
        <v>-5.4000000000000057</v>
      </c>
      <c r="G37" s="1">
        <f t="shared" si="1"/>
        <v>-45</v>
      </c>
    </row>
    <row r="38" spans="2:7" x14ac:dyDescent="0.45">
      <c r="B38" s="1">
        <v>70</v>
      </c>
      <c r="D38" s="1">
        <v>62.2</v>
      </c>
      <c r="F38" s="1">
        <f t="shared" si="0"/>
        <v>-7.7999999999999972</v>
      </c>
      <c r="G38" s="1">
        <f t="shared" si="1"/>
        <v>-50</v>
      </c>
    </row>
    <row r="39" spans="2:7" x14ac:dyDescent="0.45">
      <c r="B39" s="1"/>
    </row>
    <row r="40" spans="2:7" x14ac:dyDescent="0.45">
      <c r="B40" s="1"/>
    </row>
    <row r="41" spans="2:7" x14ac:dyDescent="0.45">
      <c r="B41" s="1"/>
    </row>
    <row r="42" spans="2:7" x14ac:dyDescent="0.45">
      <c r="B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F7BC-FE29-4E39-9FC1-2957A9FA7F3E}">
  <dimension ref="B2:K27"/>
  <sheetViews>
    <sheetView tabSelected="1" workbookViewId="0">
      <selection activeCell="I5" sqref="I5"/>
    </sheetView>
  </sheetViews>
  <sheetFormatPr baseColWidth="10" defaultRowHeight="14.25" x14ac:dyDescent="0.45"/>
  <sheetData>
    <row r="2" spans="2:11" x14ac:dyDescent="0.45">
      <c r="B2" s="7" t="s">
        <v>6</v>
      </c>
      <c r="C2" s="7"/>
      <c r="D2" s="7" t="s">
        <v>7</v>
      </c>
      <c r="E2" s="7"/>
      <c r="F2" s="7" t="s">
        <v>8</v>
      </c>
      <c r="G2" s="7"/>
      <c r="I2" s="6" t="s">
        <v>10</v>
      </c>
      <c r="J2" s="6"/>
      <c r="K2" s="6"/>
    </row>
    <row r="3" spans="2:11" x14ac:dyDescent="0.45">
      <c r="B3" s="7">
        <v>120</v>
      </c>
      <c r="C3" s="7"/>
      <c r="D3" s="7">
        <v>120</v>
      </c>
      <c r="E3" s="7"/>
      <c r="F3" s="7"/>
      <c r="G3" s="7"/>
    </row>
    <row r="4" spans="2:11" x14ac:dyDescent="0.45">
      <c r="B4" s="7">
        <v>130</v>
      </c>
      <c r="C4" s="7"/>
      <c r="D4" s="7">
        <v>132.4</v>
      </c>
      <c r="E4" s="7"/>
      <c r="F4" s="7"/>
      <c r="G4" s="7"/>
      <c r="I4" s="6" t="s">
        <v>11</v>
      </c>
      <c r="J4" s="6"/>
    </row>
    <row r="5" spans="2:11" x14ac:dyDescent="0.45">
      <c r="B5" s="7">
        <v>140</v>
      </c>
      <c r="C5" s="7"/>
      <c r="D5" s="7">
        <v>143.6</v>
      </c>
      <c r="E5" s="7"/>
      <c r="F5" s="7"/>
      <c r="G5" s="7"/>
      <c r="I5" s="1" t="s">
        <v>19</v>
      </c>
      <c r="J5" s="1" t="s">
        <v>18</v>
      </c>
    </row>
    <row r="6" spans="2:11" x14ac:dyDescent="0.45">
      <c r="B6" s="7">
        <v>150</v>
      </c>
      <c r="C6" s="7"/>
      <c r="D6" s="7">
        <v>154.19999999999999</v>
      </c>
      <c r="E6" s="7"/>
      <c r="F6" s="7"/>
      <c r="G6" s="7"/>
      <c r="I6" s="1">
        <v>-4</v>
      </c>
      <c r="J6" s="1" t="s">
        <v>9</v>
      </c>
    </row>
    <row r="7" spans="2:11" x14ac:dyDescent="0.45">
      <c r="B7" s="7">
        <v>160</v>
      </c>
      <c r="C7" s="7"/>
      <c r="D7" s="7">
        <v>165.7</v>
      </c>
      <c r="E7" s="7"/>
      <c r="F7" s="7"/>
      <c r="G7" s="7"/>
    </row>
    <row r="8" spans="2:11" x14ac:dyDescent="0.45">
      <c r="B8" s="7">
        <v>170</v>
      </c>
      <c r="C8" s="7"/>
      <c r="D8" s="7">
        <v>176.4</v>
      </c>
      <c r="E8" s="7"/>
      <c r="F8" s="7"/>
      <c r="G8" s="7"/>
    </row>
    <row r="9" spans="2:11" x14ac:dyDescent="0.45">
      <c r="B9" s="7">
        <v>110</v>
      </c>
      <c r="C9" s="7"/>
      <c r="D9" s="7">
        <v>110.6</v>
      </c>
      <c r="E9" s="7"/>
      <c r="F9" s="7"/>
      <c r="G9" s="7"/>
    </row>
    <row r="10" spans="2:11" x14ac:dyDescent="0.45">
      <c r="B10" s="7">
        <v>100</v>
      </c>
      <c r="C10" s="7"/>
      <c r="D10" s="7">
        <v>100</v>
      </c>
      <c r="E10" s="7"/>
      <c r="F10" s="7"/>
      <c r="G10" s="7"/>
    </row>
    <row r="11" spans="2:11" x14ac:dyDescent="0.45">
      <c r="B11" s="7">
        <v>90</v>
      </c>
      <c r="C11" s="7"/>
      <c r="D11" s="7">
        <v>89.2</v>
      </c>
      <c r="E11" s="7"/>
      <c r="F11" s="7"/>
      <c r="G11" s="7"/>
    </row>
    <row r="12" spans="2:11" x14ac:dyDescent="0.45">
      <c r="B12" s="7">
        <v>80</v>
      </c>
      <c r="C12" s="7"/>
      <c r="D12" s="7">
        <v>78</v>
      </c>
      <c r="E12" s="7"/>
      <c r="F12" s="7"/>
      <c r="G12" s="7"/>
    </row>
    <row r="13" spans="2:11" x14ac:dyDescent="0.45">
      <c r="B13" s="7">
        <v>70</v>
      </c>
      <c r="C13" s="7"/>
      <c r="D13" s="7">
        <v>67</v>
      </c>
      <c r="E13" s="7"/>
      <c r="F13" s="7"/>
      <c r="G13" s="7"/>
    </row>
    <row r="16" spans="2:11" x14ac:dyDescent="0.45">
      <c r="B16" s="7" t="s">
        <v>6</v>
      </c>
      <c r="C16" s="7"/>
      <c r="D16" s="7" t="s">
        <v>7</v>
      </c>
      <c r="E16" s="7"/>
      <c r="F16" s="7" t="s">
        <v>8</v>
      </c>
      <c r="G16" s="7"/>
    </row>
    <row r="17" spans="2:10" x14ac:dyDescent="0.45">
      <c r="B17" s="7">
        <v>120</v>
      </c>
      <c r="C17" s="7"/>
      <c r="D17" s="7">
        <v>119.6</v>
      </c>
      <c r="E17" s="7"/>
      <c r="F17" s="7"/>
      <c r="G17" s="7"/>
      <c r="I17" s="6" t="s">
        <v>12</v>
      </c>
      <c r="J17" s="6"/>
    </row>
    <row r="18" spans="2:10" x14ac:dyDescent="0.45">
      <c r="B18" s="7">
        <v>130</v>
      </c>
      <c r="C18" s="7"/>
      <c r="D18" s="7">
        <v>130</v>
      </c>
      <c r="E18" s="7"/>
      <c r="F18" s="7"/>
      <c r="G18" s="7"/>
      <c r="I18" s="1" t="s">
        <v>19</v>
      </c>
      <c r="J18" s="1" t="s">
        <v>18</v>
      </c>
    </row>
    <row r="19" spans="2:10" x14ac:dyDescent="0.45">
      <c r="B19" s="7">
        <v>140</v>
      </c>
      <c r="C19" s="7"/>
      <c r="D19" s="7">
        <v>140</v>
      </c>
      <c r="E19" s="7"/>
      <c r="F19" s="7"/>
      <c r="G19" s="7"/>
      <c r="I19" s="1">
        <v>4</v>
      </c>
      <c r="J19" s="1" t="s">
        <v>9</v>
      </c>
    </row>
    <row r="20" spans="2:10" x14ac:dyDescent="0.45">
      <c r="B20" s="7">
        <v>150</v>
      </c>
      <c r="C20" s="7"/>
      <c r="D20" s="7">
        <v>152.69999999999999</v>
      </c>
      <c r="E20" s="7"/>
      <c r="F20" s="7"/>
      <c r="G20" s="7"/>
    </row>
    <row r="21" spans="2:10" x14ac:dyDescent="0.45">
      <c r="B21" s="7">
        <v>160</v>
      </c>
      <c r="C21" s="7"/>
      <c r="D21" s="7">
        <v>162</v>
      </c>
      <c r="E21" s="7"/>
      <c r="F21" s="7"/>
      <c r="G21" s="7"/>
    </row>
    <row r="22" spans="2:10" x14ac:dyDescent="0.45">
      <c r="B22" s="7">
        <v>170</v>
      </c>
      <c r="C22" s="7"/>
      <c r="D22" s="7">
        <v>172.2</v>
      </c>
      <c r="E22" s="7"/>
      <c r="F22" s="7"/>
      <c r="G22" s="7"/>
    </row>
    <row r="23" spans="2:10" x14ac:dyDescent="0.45">
      <c r="B23" s="7">
        <v>110</v>
      </c>
      <c r="C23" s="7"/>
      <c r="D23" s="7">
        <v>108.2</v>
      </c>
      <c r="E23" s="7"/>
      <c r="F23" s="7"/>
      <c r="G23" s="7"/>
    </row>
    <row r="24" spans="2:10" x14ac:dyDescent="0.45">
      <c r="B24" s="7">
        <v>100</v>
      </c>
      <c r="C24" s="7"/>
      <c r="D24" s="7">
        <v>97.4</v>
      </c>
      <c r="E24" s="7"/>
      <c r="F24" s="7"/>
      <c r="G24" s="7"/>
    </row>
    <row r="25" spans="2:10" x14ac:dyDescent="0.45">
      <c r="B25" s="7">
        <v>90</v>
      </c>
      <c r="C25" s="7"/>
      <c r="D25" s="7">
        <v>85.6</v>
      </c>
      <c r="E25" s="7"/>
      <c r="F25" s="7"/>
      <c r="G25" s="7"/>
    </row>
    <row r="26" spans="2:10" x14ac:dyDescent="0.45">
      <c r="B26" s="7">
        <v>80</v>
      </c>
      <c r="C26" s="7"/>
      <c r="D26" s="7">
        <v>76.2</v>
      </c>
      <c r="E26" s="7"/>
      <c r="F26" s="7"/>
      <c r="G26" s="7"/>
    </row>
    <row r="27" spans="2:10" x14ac:dyDescent="0.45">
      <c r="B27" s="7">
        <v>70</v>
      </c>
      <c r="C27" s="7"/>
      <c r="D27" s="7">
        <v>64</v>
      </c>
      <c r="E27" s="7"/>
      <c r="F27" s="7"/>
      <c r="G27" s="7"/>
    </row>
  </sheetData>
  <mergeCells count="75">
    <mergeCell ref="B6:C6"/>
    <mergeCell ref="B2:C2"/>
    <mergeCell ref="D2:E2"/>
    <mergeCell ref="B3:C3"/>
    <mergeCell ref="B4:C4"/>
    <mergeCell ref="B5:C5"/>
    <mergeCell ref="B13:C13"/>
    <mergeCell ref="D3:E3"/>
    <mergeCell ref="D4:E4"/>
    <mergeCell ref="D5:E5"/>
    <mergeCell ref="D6:E6"/>
    <mergeCell ref="D7:E7"/>
    <mergeCell ref="D8:E8"/>
    <mergeCell ref="D9:E9"/>
    <mergeCell ref="D10:E10"/>
    <mergeCell ref="D11:E11"/>
    <mergeCell ref="B7:C7"/>
    <mergeCell ref="B8:C8"/>
    <mergeCell ref="B9:C9"/>
    <mergeCell ref="B10:C10"/>
    <mergeCell ref="B11:C11"/>
    <mergeCell ref="B12:C12"/>
    <mergeCell ref="F11:G11"/>
    <mergeCell ref="F12:G12"/>
    <mergeCell ref="I2:K2"/>
    <mergeCell ref="D13:E13"/>
    <mergeCell ref="F13:G13"/>
    <mergeCell ref="I4:J4"/>
    <mergeCell ref="D12:E12"/>
    <mergeCell ref="F2:G2"/>
    <mergeCell ref="F3:G3"/>
    <mergeCell ref="F4:G4"/>
    <mergeCell ref="F5:G5"/>
    <mergeCell ref="F6:G6"/>
    <mergeCell ref="F7:G7"/>
    <mergeCell ref="F8:G8"/>
    <mergeCell ref="F9:G9"/>
    <mergeCell ref="F10:G10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I17:J17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5849-25F8-49BF-97EF-C05F41F2E165}">
  <dimension ref="C3:H14"/>
  <sheetViews>
    <sheetView workbookViewId="0">
      <selection activeCell="G20" sqref="G20"/>
    </sheetView>
  </sheetViews>
  <sheetFormatPr baseColWidth="10" defaultRowHeight="14.25" x14ac:dyDescent="0.45"/>
  <sheetData>
    <row r="3" spans="3:8" x14ac:dyDescent="0.45">
      <c r="C3" s="7" t="s">
        <v>6</v>
      </c>
      <c r="D3" s="7"/>
      <c r="E3" s="7" t="s">
        <v>7</v>
      </c>
      <c r="F3" s="7"/>
      <c r="G3" s="7" t="s">
        <v>8</v>
      </c>
      <c r="H3" s="7"/>
    </row>
    <row r="4" spans="3:8" x14ac:dyDescent="0.45">
      <c r="C4" s="7">
        <v>120</v>
      </c>
      <c r="D4" s="7"/>
      <c r="E4" s="7">
        <v>152</v>
      </c>
      <c r="F4" s="7"/>
      <c r="G4" s="7"/>
      <c r="H4" s="7"/>
    </row>
    <row r="5" spans="3:8" x14ac:dyDescent="0.45">
      <c r="C5" s="7">
        <v>130</v>
      </c>
      <c r="D5" s="7"/>
      <c r="E5" s="7">
        <v>161.6</v>
      </c>
      <c r="F5" s="7"/>
      <c r="G5" s="7"/>
      <c r="H5" s="7"/>
    </row>
    <row r="6" spans="3:8" x14ac:dyDescent="0.45">
      <c r="C6" s="7">
        <v>140</v>
      </c>
      <c r="D6" s="7"/>
      <c r="E6" s="7">
        <v>177.2</v>
      </c>
      <c r="F6" s="7"/>
      <c r="G6" s="7"/>
      <c r="H6" s="7"/>
    </row>
    <row r="7" spans="3:8" x14ac:dyDescent="0.45">
      <c r="C7" s="7">
        <v>150</v>
      </c>
      <c r="D7" s="7"/>
      <c r="E7" s="7">
        <v>188</v>
      </c>
      <c r="F7" s="7"/>
      <c r="G7" s="7"/>
      <c r="H7" s="7"/>
    </row>
    <row r="8" spans="3:8" x14ac:dyDescent="0.45">
      <c r="C8" s="7">
        <v>160</v>
      </c>
      <c r="D8" s="7"/>
      <c r="E8" s="7">
        <v>192.2</v>
      </c>
      <c r="F8" s="7"/>
      <c r="G8" s="7"/>
      <c r="H8" s="7"/>
    </row>
    <row r="9" spans="3:8" x14ac:dyDescent="0.45">
      <c r="C9" s="7">
        <v>170</v>
      </c>
      <c r="D9" s="7"/>
      <c r="E9" s="7">
        <v>208.8</v>
      </c>
      <c r="F9" s="7"/>
      <c r="G9" s="7"/>
      <c r="H9" s="7"/>
    </row>
    <row r="10" spans="3:8" x14ac:dyDescent="0.45">
      <c r="C10" s="7">
        <v>110</v>
      </c>
      <c r="D10" s="7"/>
      <c r="E10" s="7">
        <v>143.5</v>
      </c>
      <c r="F10" s="7"/>
      <c r="G10" s="7"/>
      <c r="H10" s="7"/>
    </row>
    <row r="11" spans="3:8" x14ac:dyDescent="0.45">
      <c r="C11" s="7">
        <v>100</v>
      </c>
      <c r="D11" s="7"/>
      <c r="E11" s="7">
        <v>133.30000000000001</v>
      </c>
      <c r="F11" s="7"/>
      <c r="G11" s="7"/>
      <c r="H11" s="7"/>
    </row>
    <row r="12" spans="3:8" x14ac:dyDescent="0.45">
      <c r="C12" s="7">
        <v>90</v>
      </c>
      <c r="D12" s="7"/>
      <c r="E12" s="7">
        <v>122.8</v>
      </c>
      <c r="F12" s="7"/>
      <c r="G12" s="7"/>
      <c r="H12" s="7"/>
    </row>
    <row r="13" spans="3:8" x14ac:dyDescent="0.45">
      <c r="C13" s="7">
        <v>80</v>
      </c>
      <c r="D13" s="7"/>
      <c r="E13" s="7">
        <v>109.8</v>
      </c>
      <c r="F13" s="7"/>
      <c r="G13" s="7"/>
      <c r="H13" s="7"/>
    </row>
    <row r="14" spans="3:8" x14ac:dyDescent="0.45">
      <c r="C14" s="7">
        <v>70</v>
      </c>
      <c r="D14" s="7"/>
      <c r="E14" s="7">
        <v>97</v>
      </c>
      <c r="F14" s="7"/>
      <c r="G14" s="7"/>
      <c r="H14" s="7"/>
    </row>
  </sheetData>
  <mergeCells count="36">
    <mergeCell ref="C13:D13"/>
    <mergeCell ref="E13:F13"/>
    <mergeCell ref="G13:H13"/>
    <mergeCell ref="C14:D14"/>
    <mergeCell ref="E14:F14"/>
    <mergeCell ref="G14:H14"/>
    <mergeCell ref="C11:D11"/>
    <mergeCell ref="E11:F11"/>
    <mergeCell ref="G11:H11"/>
    <mergeCell ref="C12:D12"/>
    <mergeCell ref="E12:F12"/>
    <mergeCell ref="G12:H12"/>
    <mergeCell ref="C9:D9"/>
    <mergeCell ref="E9:F9"/>
    <mergeCell ref="G9:H9"/>
    <mergeCell ref="C10:D10"/>
    <mergeCell ref="E10:F10"/>
    <mergeCell ref="G10:H10"/>
    <mergeCell ref="C7:D7"/>
    <mergeCell ref="E7:F7"/>
    <mergeCell ref="G7:H7"/>
    <mergeCell ref="C8:D8"/>
    <mergeCell ref="E8:F8"/>
    <mergeCell ref="G8:H8"/>
    <mergeCell ref="C5:D5"/>
    <mergeCell ref="E5:F5"/>
    <mergeCell ref="G5:H5"/>
    <mergeCell ref="C6:D6"/>
    <mergeCell ref="E6:F6"/>
    <mergeCell ref="G6:H6"/>
    <mergeCell ref="C3:D3"/>
    <mergeCell ref="E3:F3"/>
    <mergeCell ref="G3:H3"/>
    <mergeCell ref="C4:D4"/>
    <mergeCell ref="E4:F4"/>
    <mergeCell ref="G4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8041D-3A3E-441C-B27A-5E9DF12E79A0}">
  <dimension ref="B5:I16"/>
  <sheetViews>
    <sheetView workbookViewId="0">
      <selection activeCell="C23" sqref="C23"/>
    </sheetView>
  </sheetViews>
  <sheetFormatPr baseColWidth="10" defaultRowHeight="14.25" x14ac:dyDescent="0.45"/>
  <cols>
    <col min="1" max="1" width="13.33203125" customWidth="1"/>
    <col min="2" max="2" width="14.1328125" customWidth="1"/>
    <col min="3" max="3" width="13.53125" bestFit="1" customWidth="1"/>
  </cols>
  <sheetData>
    <row r="5" spans="2:9" x14ac:dyDescent="0.45">
      <c r="B5" s="3" t="s">
        <v>14</v>
      </c>
      <c r="C5" s="2" t="s">
        <v>13</v>
      </c>
      <c r="D5" s="7" t="s">
        <v>6</v>
      </c>
      <c r="E5" s="7"/>
      <c r="F5" s="7" t="s">
        <v>7</v>
      </c>
      <c r="G5" s="7"/>
      <c r="H5" s="7" t="s">
        <v>8</v>
      </c>
      <c r="I5" s="7"/>
    </row>
    <row r="6" spans="2:9" x14ac:dyDescent="0.45">
      <c r="B6" s="2">
        <v>0</v>
      </c>
      <c r="C6" s="2">
        <f>ASIN(B6/120)*(180/PI())</f>
        <v>0</v>
      </c>
      <c r="D6" s="7">
        <v>120</v>
      </c>
      <c r="E6" s="7"/>
      <c r="F6" s="7">
        <v>117</v>
      </c>
      <c r="G6" s="7"/>
      <c r="H6" s="7"/>
      <c r="I6" s="7"/>
    </row>
    <row r="7" spans="2:9" x14ac:dyDescent="0.45">
      <c r="B7" s="2">
        <v>10</v>
      </c>
      <c r="C7" s="4">
        <f t="shared" ref="C7:C13" si="0">ASIN(B7/120)*(180/PI())</f>
        <v>4.7801918471991582</v>
      </c>
      <c r="D7" s="7">
        <v>121</v>
      </c>
      <c r="E7" s="7"/>
      <c r="F7" s="7">
        <v>118.4</v>
      </c>
      <c r="G7" s="7"/>
      <c r="H7" s="7"/>
      <c r="I7" s="7"/>
    </row>
    <row r="8" spans="2:9" x14ac:dyDescent="0.45">
      <c r="B8" s="2">
        <v>20</v>
      </c>
      <c r="C8" s="4">
        <f>ASIN(B8/120)*(180/PI())</f>
        <v>9.5940682268604629</v>
      </c>
      <c r="D8" s="7">
        <v>121.5</v>
      </c>
      <c r="E8" s="7"/>
      <c r="F8" s="7">
        <v>118.9</v>
      </c>
      <c r="G8" s="7"/>
      <c r="H8" s="7"/>
      <c r="I8" s="7"/>
    </row>
    <row r="9" spans="2:9" x14ac:dyDescent="0.45">
      <c r="B9" s="2">
        <v>30</v>
      </c>
      <c r="C9" s="4">
        <f t="shared" si="0"/>
        <v>14.477512185929925</v>
      </c>
      <c r="D9" s="7">
        <v>122.5</v>
      </c>
      <c r="E9" s="7"/>
      <c r="F9" s="7">
        <v>119.1</v>
      </c>
      <c r="G9" s="7"/>
      <c r="H9" s="7"/>
      <c r="I9" s="7"/>
    </row>
    <row r="10" spans="2:9" x14ac:dyDescent="0.45">
      <c r="B10" s="2">
        <v>40</v>
      </c>
      <c r="C10" s="4">
        <f t="shared" si="0"/>
        <v>19.471220634490692</v>
      </c>
      <c r="D10" s="7">
        <v>125.8</v>
      </c>
      <c r="E10" s="7"/>
      <c r="F10" s="7">
        <v>124.8</v>
      </c>
      <c r="G10" s="7"/>
      <c r="H10" s="7"/>
      <c r="I10" s="7"/>
    </row>
    <row r="11" spans="2:9" x14ac:dyDescent="0.45">
      <c r="B11" s="2">
        <v>50</v>
      </c>
      <c r="C11" s="4">
        <f t="shared" si="0"/>
        <v>24.624318352164078</v>
      </c>
      <c r="D11" s="7">
        <v>128.5</v>
      </c>
      <c r="E11" s="7"/>
      <c r="F11" s="7">
        <v>128.69999999999999</v>
      </c>
      <c r="G11" s="7"/>
      <c r="H11" s="7"/>
      <c r="I11" s="7"/>
    </row>
    <row r="12" spans="2:9" x14ac:dyDescent="0.45">
      <c r="B12" s="2">
        <v>60</v>
      </c>
      <c r="C12" s="4">
        <f t="shared" si="0"/>
        <v>30.000000000000004</v>
      </c>
      <c r="D12" s="7">
        <v>132.5</v>
      </c>
      <c r="E12" s="7"/>
      <c r="F12" s="7">
        <v>134.4</v>
      </c>
      <c r="G12" s="7"/>
      <c r="H12" s="7"/>
      <c r="I12" s="7"/>
    </row>
    <row r="13" spans="2:9" x14ac:dyDescent="0.45">
      <c r="B13" s="2">
        <v>70</v>
      </c>
      <c r="C13" s="4">
        <f t="shared" si="0"/>
        <v>35.685334712652057</v>
      </c>
      <c r="D13" s="7">
        <v>137</v>
      </c>
      <c r="E13" s="7"/>
      <c r="F13" s="7">
        <v>142.6</v>
      </c>
      <c r="G13" s="7"/>
      <c r="H13" s="7"/>
      <c r="I13" s="7"/>
    </row>
    <row r="14" spans="2:9" x14ac:dyDescent="0.45">
      <c r="B14" s="3"/>
      <c r="C14" s="3"/>
      <c r="D14" s="7"/>
      <c r="E14" s="7"/>
      <c r="F14" s="7"/>
      <c r="G14" s="7"/>
      <c r="H14" s="7"/>
      <c r="I14" s="7"/>
    </row>
    <row r="15" spans="2:9" x14ac:dyDescent="0.45">
      <c r="B15" s="3"/>
      <c r="C15" s="3"/>
      <c r="D15" s="7"/>
      <c r="E15" s="7"/>
      <c r="F15" s="7"/>
      <c r="G15" s="7"/>
      <c r="H15" s="7"/>
      <c r="I15" s="7"/>
    </row>
    <row r="16" spans="2:9" x14ac:dyDescent="0.45">
      <c r="B16" s="3"/>
      <c r="C16" s="3"/>
      <c r="D16" s="7"/>
      <c r="E16" s="7"/>
      <c r="F16" s="7"/>
      <c r="G16" s="7"/>
      <c r="H16" s="7"/>
      <c r="I16" s="7"/>
    </row>
  </sheetData>
  <mergeCells count="36">
    <mergeCell ref="D15:E15"/>
    <mergeCell ref="F15:G15"/>
    <mergeCell ref="H15:I15"/>
    <mergeCell ref="D16:E16"/>
    <mergeCell ref="F16:G16"/>
    <mergeCell ref="H16:I16"/>
    <mergeCell ref="D13:E13"/>
    <mergeCell ref="F13:G13"/>
    <mergeCell ref="H13:I13"/>
    <mergeCell ref="D14:E14"/>
    <mergeCell ref="F14:G14"/>
    <mergeCell ref="H14:I14"/>
    <mergeCell ref="D11:E11"/>
    <mergeCell ref="F11:G11"/>
    <mergeCell ref="H11:I11"/>
    <mergeCell ref="D12:E12"/>
    <mergeCell ref="F12:G12"/>
    <mergeCell ref="H12:I12"/>
    <mergeCell ref="D9:E9"/>
    <mergeCell ref="F9:G9"/>
    <mergeCell ref="H9:I9"/>
    <mergeCell ref="D10:E10"/>
    <mergeCell ref="F10:G10"/>
    <mergeCell ref="H10:I10"/>
    <mergeCell ref="D7:E7"/>
    <mergeCell ref="F7:G7"/>
    <mergeCell ref="H7:I7"/>
    <mergeCell ref="D8:E8"/>
    <mergeCell ref="F8:G8"/>
    <mergeCell ref="H8:I8"/>
    <mergeCell ref="D5:E5"/>
    <mergeCell ref="F5:G5"/>
    <mergeCell ref="H5:I5"/>
    <mergeCell ref="D6:E6"/>
    <mergeCell ref="F6:G6"/>
    <mergeCell ref="H6:I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074FB-E110-416C-914F-4412D44840BD}">
  <dimension ref="B3:I17"/>
  <sheetViews>
    <sheetView workbookViewId="0">
      <selection activeCell="I17" sqref="I17"/>
    </sheetView>
  </sheetViews>
  <sheetFormatPr baseColWidth="10" defaultRowHeight="14.25" x14ac:dyDescent="0.45"/>
  <sheetData>
    <row r="3" spans="2:9" x14ac:dyDescent="0.45">
      <c r="C3" s="2" t="s">
        <v>13</v>
      </c>
      <c r="D3" s="7" t="s">
        <v>6</v>
      </c>
      <c r="E3" s="7"/>
      <c r="F3" s="7" t="s">
        <v>7</v>
      </c>
      <c r="G3" s="7"/>
      <c r="H3" s="7" t="s">
        <v>8</v>
      </c>
      <c r="I3" s="7"/>
    </row>
    <row r="4" spans="2:9" x14ac:dyDescent="0.45">
      <c r="B4" s="1"/>
      <c r="C4" s="2">
        <v>10</v>
      </c>
      <c r="D4" s="7">
        <v>120</v>
      </c>
      <c r="E4" s="7"/>
      <c r="F4" s="7">
        <v>116.7</v>
      </c>
      <c r="G4" s="7"/>
      <c r="H4" s="7"/>
      <c r="I4" s="7"/>
    </row>
    <row r="5" spans="2:9" x14ac:dyDescent="0.45">
      <c r="B5" s="1"/>
      <c r="C5" s="5">
        <v>20</v>
      </c>
      <c r="D5" s="7">
        <v>120</v>
      </c>
      <c r="E5" s="7"/>
      <c r="F5" s="7">
        <v>118.4</v>
      </c>
      <c r="G5" s="7"/>
      <c r="H5" s="7"/>
      <c r="I5" s="7"/>
    </row>
    <row r="6" spans="2:9" x14ac:dyDescent="0.45">
      <c r="B6" s="1"/>
      <c r="C6" s="2">
        <v>30</v>
      </c>
      <c r="D6" s="7">
        <v>120</v>
      </c>
      <c r="E6" s="7"/>
      <c r="F6" s="7">
        <v>119.5</v>
      </c>
      <c r="G6" s="7"/>
      <c r="H6" s="7"/>
      <c r="I6" s="7"/>
    </row>
    <row r="7" spans="2:9" x14ac:dyDescent="0.45">
      <c r="B7" s="1"/>
      <c r="C7" s="5">
        <v>40</v>
      </c>
      <c r="D7" s="7">
        <v>120</v>
      </c>
      <c r="E7" s="7"/>
      <c r="F7" s="7">
        <v>122.8</v>
      </c>
      <c r="G7" s="7"/>
      <c r="H7" s="7"/>
      <c r="I7" s="7"/>
    </row>
    <row r="8" spans="2:9" x14ac:dyDescent="0.45">
      <c r="B8" s="1"/>
      <c r="C8" s="2">
        <v>50</v>
      </c>
      <c r="D8" s="7">
        <v>120</v>
      </c>
      <c r="E8" s="7"/>
      <c r="F8" s="7">
        <v>125.9</v>
      </c>
      <c r="G8" s="7"/>
      <c r="H8" s="7"/>
      <c r="I8" s="7"/>
    </row>
    <row r="9" spans="2:9" x14ac:dyDescent="0.45">
      <c r="B9" s="1"/>
      <c r="C9" s="5">
        <v>60</v>
      </c>
      <c r="D9" s="7">
        <v>120</v>
      </c>
      <c r="E9" s="7"/>
      <c r="F9" s="7">
        <v>124.2</v>
      </c>
      <c r="G9" s="7"/>
      <c r="H9" s="7"/>
      <c r="I9" s="7"/>
    </row>
    <row r="10" spans="2:9" x14ac:dyDescent="0.45">
      <c r="B10" s="1"/>
      <c r="C10" s="2">
        <v>70</v>
      </c>
      <c r="D10" s="7">
        <v>120</v>
      </c>
      <c r="E10" s="7"/>
      <c r="F10" s="7">
        <v>123</v>
      </c>
      <c r="G10" s="7"/>
      <c r="H10" s="7"/>
      <c r="I10" s="7"/>
    </row>
    <row r="11" spans="2:9" x14ac:dyDescent="0.45">
      <c r="B11" s="1"/>
      <c r="C11" s="5">
        <v>80</v>
      </c>
      <c r="D11" s="7">
        <v>120</v>
      </c>
      <c r="E11" s="7"/>
      <c r="F11" s="7">
        <v>124</v>
      </c>
      <c r="G11" s="7"/>
      <c r="H11" s="7"/>
      <c r="I11" s="7"/>
    </row>
    <row r="12" spans="2:9" x14ac:dyDescent="0.45">
      <c r="C12" s="2">
        <v>90</v>
      </c>
      <c r="D12" s="7">
        <v>120</v>
      </c>
      <c r="E12" s="7"/>
      <c r="F12" s="8">
        <v>130</v>
      </c>
      <c r="G12" s="9"/>
      <c r="H12" s="8"/>
      <c r="I12" s="9"/>
    </row>
    <row r="15" spans="2:9" x14ac:dyDescent="0.45">
      <c r="C15" t="s">
        <v>15</v>
      </c>
      <c r="D15" s="7" t="s">
        <v>6</v>
      </c>
      <c r="E15" s="7"/>
      <c r="F15" s="7" t="s">
        <v>7</v>
      </c>
      <c r="G15" s="7"/>
    </row>
    <row r="16" spans="2:9" x14ac:dyDescent="0.45">
      <c r="C16" t="s">
        <v>16</v>
      </c>
      <c r="D16" s="7">
        <v>120</v>
      </c>
      <c r="E16" s="7"/>
      <c r="F16" s="7">
        <v>143.9</v>
      </c>
      <c r="G16" s="7"/>
    </row>
    <row r="17" spans="3:7" x14ac:dyDescent="0.45">
      <c r="C17" t="s">
        <v>17</v>
      </c>
      <c r="D17" s="7">
        <v>120</v>
      </c>
      <c r="E17" s="7"/>
      <c r="F17" s="7">
        <v>139.4</v>
      </c>
      <c r="G17" s="7"/>
    </row>
  </sheetData>
  <mergeCells count="36">
    <mergeCell ref="D16:E16"/>
    <mergeCell ref="F16:G16"/>
    <mergeCell ref="D17:E17"/>
    <mergeCell ref="D15:E15"/>
    <mergeCell ref="F15:G15"/>
    <mergeCell ref="F17:G17"/>
    <mergeCell ref="D11:E11"/>
    <mergeCell ref="F11:G11"/>
    <mergeCell ref="H11:I11"/>
    <mergeCell ref="D12:E12"/>
    <mergeCell ref="F12:G12"/>
    <mergeCell ref="H12:I12"/>
    <mergeCell ref="D9:E9"/>
    <mergeCell ref="F9:G9"/>
    <mergeCell ref="H9:I9"/>
    <mergeCell ref="D10:E10"/>
    <mergeCell ref="F10:G10"/>
    <mergeCell ref="H10:I10"/>
    <mergeCell ref="D7:E7"/>
    <mergeCell ref="F7:G7"/>
    <mergeCell ref="H7:I7"/>
    <mergeCell ref="D8:E8"/>
    <mergeCell ref="F8:G8"/>
    <mergeCell ref="H8:I8"/>
    <mergeCell ref="D5:E5"/>
    <mergeCell ref="F5:G5"/>
    <mergeCell ref="H5:I5"/>
    <mergeCell ref="D6:E6"/>
    <mergeCell ref="F6:G6"/>
    <mergeCell ref="H6:I6"/>
    <mergeCell ref="D3:E3"/>
    <mergeCell ref="F3:G3"/>
    <mergeCell ref="H3:I3"/>
    <mergeCell ref="D4:E4"/>
    <mergeCell ref="F4:G4"/>
    <mergeCell ref="H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576D-BF07-4E9D-9403-3FC7897913C4}">
  <dimension ref="C3:H14"/>
  <sheetViews>
    <sheetView workbookViewId="0">
      <selection activeCell="L10" sqref="L10"/>
    </sheetView>
  </sheetViews>
  <sheetFormatPr baseColWidth="10" defaultRowHeight="14.25" x14ac:dyDescent="0.45"/>
  <sheetData>
    <row r="3" spans="3:8" x14ac:dyDescent="0.45">
      <c r="C3" s="7" t="s">
        <v>6</v>
      </c>
      <c r="D3" s="7"/>
      <c r="E3" s="7" t="s">
        <v>7</v>
      </c>
      <c r="F3" s="7"/>
      <c r="G3" s="7" t="s">
        <v>8</v>
      </c>
      <c r="H3" s="7"/>
    </row>
    <row r="4" spans="3:8" x14ac:dyDescent="0.45">
      <c r="C4" s="7">
        <v>120</v>
      </c>
      <c r="D4" s="7"/>
      <c r="E4" s="7">
        <v>115</v>
      </c>
      <c r="F4" s="7"/>
      <c r="G4" s="7"/>
      <c r="H4" s="7"/>
    </row>
    <row r="5" spans="3:8" x14ac:dyDescent="0.45">
      <c r="C5" s="7">
        <v>110</v>
      </c>
      <c r="D5" s="7"/>
      <c r="E5" s="7">
        <v>104.3</v>
      </c>
      <c r="F5" s="7"/>
      <c r="G5" s="7"/>
      <c r="H5" s="7"/>
    </row>
    <row r="6" spans="3:8" x14ac:dyDescent="0.45">
      <c r="C6" s="7">
        <v>100</v>
      </c>
      <c r="D6" s="7"/>
      <c r="E6" s="7">
        <v>92.6</v>
      </c>
      <c r="F6" s="7"/>
      <c r="G6" s="7"/>
      <c r="H6" s="7"/>
    </row>
    <row r="7" spans="3:8" x14ac:dyDescent="0.45">
      <c r="C7" s="7">
        <v>130</v>
      </c>
      <c r="D7" s="7"/>
      <c r="E7" s="7">
        <v>124.1</v>
      </c>
      <c r="F7" s="7"/>
      <c r="G7" s="7"/>
      <c r="H7" s="7"/>
    </row>
    <row r="8" spans="3:8" x14ac:dyDescent="0.45">
      <c r="C8" s="7">
        <v>140</v>
      </c>
      <c r="D8" s="7"/>
      <c r="E8" s="7">
        <v>134.6</v>
      </c>
      <c r="F8" s="7"/>
      <c r="G8" s="7"/>
      <c r="H8" s="7"/>
    </row>
    <row r="9" spans="3:8" x14ac:dyDescent="0.45">
      <c r="C9" s="7"/>
      <c r="D9" s="7"/>
      <c r="E9" s="7"/>
      <c r="F9" s="7"/>
      <c r="G9" s="7"/>
      <c r="H9" s="7"/>
    </row>
    <row r="10" spans="3:8" x14ac:dyDescent="0.45">
      <c r="C10" s="7"/>
      <c r="D10" s="7"/>
      <c r="E10" s="7"/>
      <c r="F10" s="7"/>
      <c r="G10" s="7"/>
      <c r="H10" s="7"/>
    </row>
    <row r="11" spans="3:8" x14ac:dyDescent="0.45">
      <c r="C11" s="7"/>
      <c r="D11" s="7"/>
      <c r="E11" s="7"/>
      <c r="F11" s="7"/>
      <c r="G11" s="7"/>
      <c r="H11" s="7"/>
    </row>
    <row r="12" spans="3:8" x14ac:dyDescent="0.45">
      <c r="C12" s="7"/>
      <c r="D12" s="7"/>
      <c r="E12" s="7"/>
      <c r="F12" s="7"/>
      <c r="G12" s="7"/>
      <c r="H12" s="7"/>
    </row>
    <row r="13" spans="3:8" x14ac:dyDescent="0.45">
      <c r="C13" s="7"/>
      <c r="D13" s="7"/>
      <c r="E13" s="7"/>
      <c r="F13" s="7"/>
      <c r="G13" s="7"/>
      <c r="H13" s="7"/>
    </row>
    <row r="14" spans="3:8" x14ac:dyDescent="0.45">
      <c r="C14" s="7"/>
      <c r="D14" s="7"/>
      <c r="E14" s="7"/>
      <c r="F14" s="7"/>
      <c r="G14" s="7"/>
      <c r="H14" s="7"/>
    </row>
  </sheetData>
  <mergeCells count="36">
    <mergeCell ref="C13:D13"/>
    <mergeCell ref="E13:F13"/>
    <mergeCell ref="G13:H13"/>
    <mergeCell ref="C14:D14"/>
    <mergeCell ref="E14:F14"/>
    <mergeCell ref="G14:H14"/>
    <mergeCell ref="C11:D11"/>
    <mergeCell ref="E11:F11"/>
    <mergeCell ref="G11:H11"/>
    <mergeCell ref="C12:D12"/>
    <mergeCell ref="E12:F12"/>
    <mergeCell ref="G12:H12"/>
    <mergeCell ref="C9:D9"/>
    <mergeCell ref="E9:F9"/>
    <mergeCell ref="G9:H9"/>
    <mergeCell ref="C10:D10"/>
    <mergeCell ref="E10:F10"/>
    <mergeCell ref="G10:H10"/>
    <mergeCell ref="C7:D7"/>
    <mergeCell ref="E7:F7"/>
    <mergeCell ref="G7:H7"/>
    <mergeCell ref="C8:D8"/>
    <mergeCell ref="E8:F8"/>
    <mergeCell ref="G8:H8"/>
    <mergeCell ref="C5:D5"/>
    <mergeCell ref="E5:F5"/>
    <mergeCell ref="G5:H5"/>
    <mergeCell ref="C6:D6"/>
    <mergeCell ref="E6:F6"/>
    <mergeCell ref="G6:H6"/>
    <mergeCell ref="C3:D3"/>
    <mergeCell ref="E3:F3"/>
    <mergeCell ref="G3:H3"/>
    <mergeCell ref="C4:D4"/>
    <mergeCell ref="E4:F4"/>
    <mergeCell ref="G4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UWB_horizontale</vt:lpstr>
      <vt:lpstr>UWB_vertical_face_face</vt:lpstr>
      <vt:lpstr>UWB_vertical_dos_face</vt:lpstr>
      <vt:lpstr>UWB_translation</vt:lpstr>
      <vt:lpstr>UWB_rotation</vt:lpstr>
      <vt:lpstr>UWB_drone_face_face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RAMDANI Noe</dc:creator>
  <cp:lastModifiedBy>PEYON Emilien</cp:lastModifiedBy>
  <dcterms:created xsi:type="dcterms:W3CDTF">2026-09-25T14:10:10Z</dcterms:created>
  <dcterms:modified xsi:type="dcterms:W3CDTF">2026-10-16T09:19:05Z</dcterms:modified>
</cp:coreProperties>
</file>